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2="http://schemas.microsoft.com/office/spreadsheetml/2015/revision2" mc:Ignorable="x15 xr2">
  <fileVersion appName="xl" lastEdited="7" lowestEdited="7" rupBuild="18528" codeName="{B1203076-2D4D-A25B-A398-973B695A806A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jglazer\Documents\personal\dev\drumlin-EnergyPlusSpreadsheet\"/>
    </mc:Choice>
  </mc:AlternateContent>
  <bookViews>
    <workbookView xWindow="0" yWindow="0" windowWidth="23040" windowHeight="10344" xr2:uid="{00000000-000D-0000-FFFF-FFFF00000000}"/>
  </bookViews>
  <sheets>
    <sheet name="Sheet1" sheetId="1" r:id="rId1"/>
  </sheet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I92" i="1" l="1"/>
  <c r="I91" i="1"/>
  <c r="I90" i="1"/>
  <c r="I89" i="1"/>
  <c r="I88" i="1"/>
  <c r="I87" i="1"/>
  <c r="I86" i="1"/>
  <c r="I85" i="1"/>
  <c r="I84" i="1"/>
  <c r="I83" i="1"/>
  <c r="I82" i="1"/>
  <c r="I81" i="1"/>
  <c r="I80" i="1"/>
  <c r="I79" i="1"/>
  <c r="I78" i="1"/>
  <c r="I77" i="1"/>
  <c r="I76" i="1"/>
  <c r="I75" i="1"/>
  <c r="I74" i="1"/>
  <c r="I73" i="1"/>
  <c r="I72" i="1"/>
  <c r="I71" i="1"/>
  <c r="H92" i="1"/>
  <c r="H91" i="1"/>
  <c r="H90" i="1"/>
  <c r="H89" i="1"/>
  <c r="H88" i="1"/>
  <c r="H87" i="1"/>
  <c r="H86" i="1"/>
  <c r="H85" i="1"/>
  <c r="H84" i="1"/>
  <c r="H83" i="1"/>
  <c r="H82" i="1"/>
  <c r="H81" i="1"/>
  <c r="H80" i="1"/>
  <c r="H79" i="1"/>
  <c r="H78" i="1"/>
  <c r="H77" i="1"/>
  <c r="H76" i="1"/>
  <c r="H75" i="1"/>
  <c r="H74" i="1"/>
  <c r="H73" i="1"/>
  <c r="H72" i="1"/>
  <c r="H71" i="1"/>
  <c r="G92" i="1"/>
  <c r="G91" i="1"/>
  <c r="G90" i="1"/>
  <c r="G89" i="1"/>
  <c r="G88" i="1"/>
  <c r="G87" i="1"/>
  <c r="G86" i="1"/>
  <c r="G85" i="1"/>
  <c r="G84" i="1"/>
  <c r="G83" i="1"/>
  <c r="G82" i="1"/>
  <c r="G81" i="1"/>
  <c r="G80" i="1"/>
  <c r="G79" i="1"/>
  <c r="G78" i="1"/>
  <c r="G77" i="1"/>
  <c r="G76" i="1"/>
  <c r="G75" i="1"/>
  <c r="G74" i="1"/>
  <c r="G73" i="1"/>
  <c r="G72" i="1"/>
  <c r="G71" i="1"/>
  <c r="F92" i="1"/>
  <c r="F91" i="1"/>
  <c r="F90" i="1"/>
  <c r="F89" i="1"/>
  <c r="F88" i="1"/>
  <c r="F87" i="1"/>
  <c r="F86" i="1"/>
  <c r="F85" i="1"/>
  <c r="F84" i="1"/>
  <c r="F83" i="1"/>
  <c r="F82" i="1"/>
  <c r="F81" i="1"/>
  <c r="F80" i="1"/>
  <c r="F79" i="1"/>
  <c r="F78" i="1"/>
  <c r="F77" i="1"/>
  <c r="F76" i="1"/>
  <c r="F75" i="1"/>
  <c r="F74" i="1"/>
  <c r="F73" i="1"/>
  <c r="F72" i="1"/>
  <c r="F71" i="1"/>
  <c r="E92" i="1"/>
  <c r="E91" i="1"/>
  <c r="E90" i="1"/>
  <c r="E89" i="1"/>
  <c r="E88" i="1"/>
  <c r="E87" i="1"/>
  <c r="E86" i="1"/>
  <c r="E85" i="1"/>
  <c r="E84" i="1"/>
  <c r="E83" i="1"/>
  <c r="E82" i="1"/>
  <c r="E81" i="1"/>
  <c r="E80" i="1"/>
  <c r="E79" i="1"/>
  <c r="E78" i="1"/>
  <c r="E77" i="1"/>
  <c r="E76" i="1"/>
  <c r="E75" i="1"/>
  <c r="E74" i="1"/>
  <c r="E73" i="1"/>
  <c r="E72" i="1"/>
  <c r="E71" i="1"/>
  <c r="D92" i="1"/>
  <c r="D91" i="1"/>
  <c r="D90" i="1"/>
  <c r="D89" i="1"/>
  <c r="D88" i="1"/>
  <c r="D87" i="1"/>
  <c r="D86" i="1"/>
  <c r="D85" i="1"/>
  <c r="D84" i="1"/>
  <c r="D83" i="1"/>
  <c r="D82" i="1"/>
  <c r="D81" i="1"/>
  <c r="D80" i="1"/>
  <c r="D79" i="1"/>
  <c r="D78" i="1"/>
  <c r="D77" i="1"/>
  <c r="D76" i="1"/>
  <c r="D75" i="1"/>
  <c r="D74" i="1"/>
  <c r="D73" i="1"/>
  <c r="D72" i="1"/>
  <c r="D71" i="1"/>
  <c r="H37" i="1"/>
  <c r="H36" i="1"/>
  <c r="H35" i="1"/>
  <c r="H34" i="1"/>
  <c r="H33" i="1"/>
  <c r="H32" i="1"/>
  <c r="H31" i="1"/>
  <c r="H30" i="1"/>
  <c r="H29" i="1"/>
  <c r="H28" i="1"/>
  <c r="H27" i="1"/>
  <c r="H26" i="1"/>
  <c r="G37" i="1"/>
  <c r="G36" i="1"/>
  <c r="G35" i="1"/>
  <c r="G34" i="1"/>
  <c r="G33" i="1"/>
  <c r="G32" i="1"/>
  <c r="G31" i="1"/>
  <c r="G30" i="1"/>
  <c r="G29" i="1"/>
  <c r="G28" i="1"/>
  <c r="G27" i="1"/>
  <c r="G26" i="1"/>
  <c r="F37" i="1"/>
  <c r="F36" i="1"/>
  <c r="F35" i="1"/>
  <c r="F34" i="1"/>
  <c r="F33" i="1"/>
  <c r="F32" i="1"/>
  <c r="F31" i="1"/>
  <c r="F30" i="1"/>
  <c r="F29" i="1"/>
  <c r="F28" i="1"/>
  <c r="F27" i="1"/>
  <c r="F26" i="1"/>
  <c r="E37" i="1"/>
  <c r="E36" i="1"/>
  <c r="E35" i="1"/>
  <c r="E34" i="1"/>
  <c r="E33" i="1"/>
  <c r="E32" i="1"/>
  <c r="E31" i="1"/>
  <c r="E30" i="1"/>
  <c r="E29" i="1"/>
  <c r="E28" i="1"/>
  <c r="E27" i="1"/>
  <c r="E26" i="1"/>
  <c r="D37" i="1"/>
  <c r="D36" i="1"/>
  <c r="D35" i="1"/>
  <c r="D34" i="1"/>
  <c r="D33" i="1"/>
  <c r="D32" i="1"/>
  <c r="D31" i="1"/>
  <c r="D30" i="1"/>
  <c r="D29" i="1"/>
  <c r="D28" i="1"/>
  <c r="D27" i="1"/>
  <c r="D26" i="1"/>
</calcChain>
</file>

<file path=xl/sharedStrings.xml><?xml version="1.0" encoding="utf-8"?>
<sst xmlns="http://schemas.openxmlformats.org/spreadsheetml/2006/main" count="135" uniqueCount="77">
  <si>
    <t>Drumlin</t>
  </si>
  <si>
    <t>ORIGINAL</t>
  </si>
  <si>
    <t>REVISED</t>
  </si>
  <si>
    <t>OBJECT</t>
  </si>
  <si>
    <t>Lights</t>
  </si>
  <si>
    <t>FenestrationSurface:Detailed</t>
  </si>
  <si>
    <t>5ZoneAirCooled.idf</t>
  </si>
  <si>
    <t>5ZoneAirCooled-A.idf</t>
  </si>
  <si>
    <t>SPACE1-1 Lights 1</t>
  </si>
  <si>
    <t>SPACE1-1</t>
  </si>
  <si>
    <t>LIGHTS-1</t>
  </si>
  <si>
    <t>LightingLevel</t>
  </si>
  <si>
    <t>GeneralLights</t>
  </si>
  <si>
    <t>WF-1</t>
  </si>
  <si>
    <t>WINDOW</t>
  </si>
  <si>
    <t>Dbl Clr 3mm/13mm Air</t>
  </si>
  <si>
    <t>FRONT-1</t>
  </si>
  <si>
    <t>DF-1</t>
  </si>
  <si>
    <t>GLASSDOOR</t>
  </si>
  <si>
    <t>Sgl Grey 3mm</t>
  </si>
  <si>
    <t>SPACE2-1 Lights 1</t>
  </si>
  <si>
    <t>SPACE2-1</t>
  </si>
  <si>
    <t>WR-1</t>
  </si>
  <si>
    <t>RIGHT-1</t>
  </si>
  <si>
    <t>SPACE3-1 Lights 1</t>
  </si>
  <si>
    <t>SPACE3-1</t>
  </si>
  <si>
    <t>WB-1</t>
  </si>
  <si>
    <t>BACK-1</t>
  </si>
  <si>
    <t>DB-1</t>
  </si>
  <si>
    <t>SPACE4-1 Lights 1</t>
  </si>
  <si>
    <t>SPACE4-1</t>
  </si>
  <si>
    <t>WL-1</t>
  </si>
  <si>
    <t>LEFT-1</t>
  </si>
  <si>
    <t>SPACE5-1 Lights 1</t>
  </si>
  <si>
    <t>SPACE5-1</t>
  </si>
  <si>
    <t>IDD</t>
  </si>
  <si>
    <t>C:\EnergyPlusV8-7-0\Energy+.idd</t>
  </si>
  <si>
    <t>Name</t>
  </si>
  <si>
    <t>Zone or ZoneList Name</t>
  </si>
  <si>
    <t>Schedule Name</t>
  </si>
  <si>
    <t>Design Level Calculation Method</t>
  </si>
  <si>
    <t>Lighting Level</t>
  </si>
  <si>
    <t>Watts per Zone Floor Area</t>
  </si>
  <si>
    <t>Watts per Person</t>
  </si>
  <si>
    <t>Return Air Fraction</t>
  </si>
  <si>
    <t>Fraction Radiant</t>
  </si>
  <si>
    <t>Fraction Visible</t>
  </si>
  <si>
    <t>Fraction Replaceable</t>
  </si>
  <si>
    <t>End-Use Subcategory</t>
  </si>
  <si>
    <t>Surface Type</t>
  </si>
  <si>
    <t>Construction Name</t>
  </si>
  <si>
    <t>Building Surface Name</t>
  </si>
  <si>
    <t>Outside Boundary Condition Object</t>
  </si>
  <si>
    <t>View Factor to Ground</t>
  </si>
  <si>
    <t>Shading Control Name</t>
  </si>
  <si>
    <t>Frame and Divider Name</t>
  </si>
  <si>
    <t>Multiplier</t>
  </si>
  <si>
    <t>Number of Vertices</t>
  </si>
  <si>
    <t>Vertex 1 X-coordinate</t>
  </si>
  <si>
    <t>Vertex 1 Y-coordinate</t>
  </si>
  <si>
    <t>Vertex 1 Z-coordinate</t>
  </si>
  <si>
    <t>Vertex 2 X-coordinate</t>
  </si>
  <si>
    <t>Vertex 2 Y-coordinate</t>
  </si>
  <si>
    <t>Vertex 2 Z-coordinate</t>
  </si>
  <si>
    <t>Vertex 3 X-coordinate</t>
  </si>
  <si>
    <t>Vertex 3 Y-coordinate</t>
  </si>
  <si>
    <t>Vertex 3 Z-coordinate</t>
  </si>
  <si>
    <t>Vertex 4 X-coordinate</t>
  </si>
  <si>
    <t>Vertex 4 Y-coordinate</t>
  </si>
  <si>
    <t>Vertex 4 Z-coordinate</t>
  </si>
  <si>
    <t>Lights [ORIGINAL]</t>
  </si>
  <si>
    <t>FenestrationSurface:Detailed [ORIGINAL]</t>
  </si>
  <si>
    <t>Lights [REVISED]</t>
  </si>
  <si>
    <t>Return Air Fraction Calculated from Plenum Temperature</t>
  </si>
  <si>
    <t>Return Air Fraction Function of Plenum Temperature Coefficient 1</t>
  </si>
  <si>
    <t>Return Air Fraction Function of Plenum Temperature Coefficient 2</t>
  </si>
  <si>
    <t>FenestrationSurface:Detailed [REVISED]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</si>
</sst>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0" fontId="2" fillId="0" borderId="0" xfId="0" applyFont="1"/>
    <xf numFmtId="0" fontId="3" fillId="0" borderId="0" xfId="0" applyFont="1"/>
    <xf numFmtId="0" fontId="4" fillId="0" borderId="0" xfId="0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480060</xdr:colOff>
          <xdr:row>2</xdr:row>
          <xdr:rowOff>91440</xdr:rowOff>
        </xdr:from>
        <xdr:to>
          <xdr:col>7</xdr:col>
          <xdr:colOff>167640</xdr:colOff>
          <xdr:row>3</xdr:row>
          <xdr:rowOff>160020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Debug Drumlin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I92"/>
  <sheetViews>
    <sheetView tabSelected="1" topLeftCell="A22" zoomScale="85" zoomScaleNormal="85" workbookViewId="0">
      <selection activeCell="F7" sqref="F7"/>
    </sheetView>
  </sheetViews>
  <sheetFormatPr defaultRowHeight="14.4" x14ac:dyDescent="0.3"/>
  <cols>
    <col min="1" max="1" width="11" style="2" customWidth="1"/>
    <col min="2" max="2" width="36.44140625" style="2" bestFit="1" customWidth="1"/>
    <col min="3" max="3" width="33.44140625" style="2" customWidth="1"/>
    <col min="4" max="8" width="20.6640625" style="2" customWidth="1"/>
    <col min="9" max="9" width="25.88671875" style="2" bestFit="1" customWidth="1"/>
    <col min="10" max="16384" width="8.88671875" style="2"/>
  </cols>
  <sheetData>
    <row r="1" spans="1:8" x14ac:dyDescent="0.3">
      <c r="A1" s="1" t="s">
        <v>0</v>
      </c>
    </row>
    <row r="2" spans="1:8" x14ac:dyDescent="0.3">
      <c r="A2" s="2" t="s">
        <v>35</v>
      </c>
      <c r="B2" s="2" t="s">
        <v>36</v>
      </c>
    </row>
    <row r="3" spans="1:8" x14ac:dyDescent="0.3">
      <c r="A3" s="2" t="s">
        <v>1</v>
      </c>
      <c r="B3" s="2" t="s">
        <v>6</v>
      </c>
    </row>
    <row r="4" spans="1:8" x14ac:dyDescent="0.3">
      <c r="A4" s="2" t="s">
        <v>2</v>
      </c>
      <c r="B4" s="2" t="s">
        <v>7</v>
      </c>
    </row>
    <row r="5" spans="1:8" x14ac:dyDescent="0.3">
      <c r="A5" s="2" t="s">
        <v>3</v>
      </c>
      <c r="B5" s="2" t="s">
        <v>4</v>
      </c>
    </row>
    <row r="6" spans="1:8" x14ac:dyDescent="0.3">
      <c r="A6" s="2" t="s">
        <v>3</v>
      </c>
      <c r="B6" s="3" t="s">
        <v>5</v>
      </c>
    </row>
    <row r="11" spans="1:8" x14ac:dyDescent="0.3">
      <c r="B11" s="2" t="s">
        <v>70</v>
      </c>
      <c r="C11" s="2" t="s">
        <v>37</v>
      </c>
      <c r="D11" s="2" t="s">
        <v>8</v>
      </c>
      <c r="E11" s="2" t="s">
        <v>20</v>
      </c>
      <c r="F11" s="2" t="s">
        <v>24</v>
      </c>
      <c r="G11" s="2" t="s">
        <v>29</v>
      </c>
      <c r="H11" s="2" t="s">
        <v>33</v>
      </c>
    </row>
    <row r="12" spans="1:8" x14ac:dyDescent="0.3">
      <c r="C12" s="2" t="s">
        <v>38</v>
      </c>
      <c r="D12" s="2" t="s">
        <v>9</v>
      </c>
      <c r="E12" s="2" t="s">
        <v>21</v>
      </c>
      <c r="F12" s="2" t="s">
        <v>25</v>
      </c>
      <c r="G12" s="2" t="s">
        <v>30</v>
      </c>
      <c r="H12" s="2" t="s">
        <v>34</v>
      </c>
    </row>
    <row r="13" spans="1:8" x14ac:dyDescent="0.3">
      <c r="C13" s="2" t="s">
        <v>39</v>
      </c>
      <c r="D13" s="2" t="s">
        <v>10</v>
      </c>
      <c r="E13" s="2" t="s">
        <v>10</v>
      </c>
      <c r="F13" s="2" t="s">
        <v>10</v>
      </c>
      <c r="G13" s="2" t="s">
        <v>10</v>
      </c>
      <c r="H13" s="2" t="s">
        <v>10</v>
      </c>
    </row>
    <row r="14" spans="1:8" x14ac:dyDescent="0.3">
      <c r="C14" s="2" t="s">
        <v>40</v>
      </c>
      <c r="D14" s="2" t="s">
        <v>11</v>
      </c>
      <c r="E14" s="2" t="s">
        <v>11</v>
      </c>
      <c r="F14" s="2" t="s">
        <v>11</v>
      </c>
      <c r="G14" s="2" t="s">
        <v>11</v>
      </c>
      <c r="H14" s="2" t="s">
        <v>11</v>
      </c>
    </row>
    <row r="15" spans="1:8" x14ac:dyDescent="0.3">
      <c r="C15" s="2" t="s">
        <v>41</v>
      </c>
      <c r="D15" s="2">
        <v>1584</v>
      </c>
      <c r="E15" s="2">
        <v>684</v>
      </c>
      <c r="F15" s="2">
        <v>1584</v>
      </c>
      <c r="G15" s="2">
        <v>684</v>
      </c>
      <c r="H15" s="2">
        <v>2964</v>
      </c>
    </row>
    <row r="16" spans="1:8" x14ac:dyDescent="0.3">
      <c r="C16" s="2" t="s">
        <v>42</v>
      </c>
    </row>
    <row r="17" spans="2:8" x14ac:dyDescent="0.3">
      <c r="C17" s="2" t="s">
        <v>43</v>
      </c>
    </row>
    <row r="18" spans="2:8" x14ac:dyDescent="0.3">
      <c r="C18" s="2" t="s">
        <v>44</v>
      </c>
      <c r="D18" s="2">
        <v>0.2</v>
      </c>
      <c r="E18" s="2">
        <v>0.2</v>
      </c>
      <c r="F18" s="2">
        <v>0.2</v>
      </c>
      <c r="G18" s="2">
        <v>0.2</v>
      </c>
      <c r="H18" s="2">
        <v>0.2</v>
      </c>
    </row>
    <row r="19" spans="2:8" x14ac:dyDescent="0.3">
      <c r="C19" s="2" t="s">
        <v>45</v>
      </c>
      <c r="D19" s="2">
        <v>0.59</v>
      </c>
      <c r="E19" s="2">
        <v>0.59</v>
      </c>
      <c r="F19" s="2">
        <v>0.59</v>
      </c>
      <c r="G19" s="2">
        <v>0.59</v>
      </c>
      <c r="H19" s="2">
        <v>0.59</v>
      </c>
    </row>
    <row r="20" spans="2:8" x14ac:dyDescent="0.3">
      <c r="C20" s="2" t="s">
        <v>46</v>
      </c>
      <c r="D20" s="2">
        <v>0.2</v>
      </c>
      <c r="E20" s="2">
        <v>0.2</v>
      </c>
      <c r="F20" s="2">
        <v>0.2</v>
      </c>
      <c r="G20" s="2">
        <v>0.2</v>
      </c>
      <c r="H20" s="2">
        <v>0.2</v>
      </c>
    </row>
    <row r="21" spans="2:8" x14ac:dyDescent="0.3">
      <c r="C21" s="2" t="s">
        <v>47</v>
      </c>
      <c r="D21" s="2">
        <v>0</v>
      </c>
      <c r="E21" s="2">
        <v>0</v>
      </c>
      <c r="F21" s="2">
        <v>0</v>
      </c>
      <c r="G21" s="2">
        <v>0</v>
      </c>
      <c r="H21" s="2">
        <v>0</v>
      </c>
    </row>
    <row r="22" spans="2:8" x14ac:dyDescent="0.3">
      <c r="C22" s="2" t="s">
        <v>48</v>
      </c>
      <c r="D22" s="2" t="s">
        <v>12</v>
      </c>
      <c r="E22" s="2" t="s">
        <v>12</v>
      </c>
      <c r="F22" s="2" t="s">
        <v>12</v>
      </c>
      <c r="G22" s="2" t="s">
        <v>12</v>
      </c>
      <c r="H22" s="2" t="s">
        <v>12</v>
      </c>
    </row>
    <row r="26" spans="2:8" x14ac:dyDescent="0.3">
      <c r="B26" s="2" t="s">
        <v>72</v>
      </c>
      <c r="C26" s="2" t="s">
        <v>37</v>
      </c>
      <c r="D26" s="2" t="str">
        <f>D11</f>
        <v>SPACE1-1 Lights 1</v>
      </c>
      <c r="E26" s="2" t="str">
        <f>E11</f>
        <v>SPACE2-1 Lights 1</v>
      </c>
      <c r="F26" s="2" t="str">
        <f>F11</f>
        <v>SPACE3-1 Lights 1</v>
      </c>
      <c r="G26" s="2" t="str">
        <f>G11</f>
        <v>SPACE4-1 Lights 1</v>
      </c>
      <c r="H26" s="2" t="str">
        <f>H11</f>
        <v>SPACE5-1 Lights 1</v>
      </c>
    </row>
    <row r="27" spans="2:8" x14ac:dyDescent="0.3">
      <c r="C27" s="2" t="s">
        <v>38</v>
      </c>
      <c r="D27" s="2" t="str">
        <f>D12</f>
        <v>SPACE1-1</v>
      </c>
      <c r="E27" s="2" t="str">
        <f>E12</f>
        <v>SPACE2-1</v>
      </c>
      <c r="F27" s="2" t="str">
        <f>F12</f>
        <v>SPACE3-1</v>
      </c>
      <c r="G27" s="2" t="str">
        <f>G12</f>
        <v>SPACE4-1</v>
      </c>
      <c r="H27" s="2" t="str">
        <f>H12</f>
        <v>SPACE5-1</v>
      </c>
    </row>
    <row r="28" spans="2:8" x14ac:dyDescent="0.3">
      <c r="C28" s="2" t="s">
        <v>39</v>
      </c>
      <c r="D28" s="2" t="str">
        <f>D13</f>
        <v>LIGHTS-1</v>
      </c>
      <c r="E28" s="2" t="str">
        <f>E13</f>
        <v>LIGHTS-1</v>
      </c>
      <c r="F28" s="2" t="str">
        <f>F13</f>
        <v>LIGHTS-1</v>
      </c>
      <c r="G28" s="2" t="str">
        <f>G13</f>
        <v>LIGHTS-1</v>
      </c>
      <c r="H28" s="2" t="str">
        <f>H13</f>
        <v>LIGHTS-1</v>
      </c>
    </row>
    <row r="29" spans="2:8" x14ac:dyDescent="0.3">
      <c r="C29" s="2" t="s">
        <v>40</v>
      </c>
      <c r="D29" s="2" t="str">
        <f>D14</f>
        <v>LightingLevel</v>
      </c>
      <c r="E29" s="2" t="str">
        <f>E14</f>
        <v>LightingLevel</v>
      </c>
      <c r="F29" s="2" t="str">
        <f>F14</f>
        <v>LightingLevel</v>
      </c>
      <c r="G29" s="2" t="str">
        <f>G14</f>
        <v>LightingLevel</v>
      </c>
      <c r="H29" s="2" t="str">
        <f>H14</f>
        <v>LightingLevel</v>
      </c>
    </row>
    <row r="30" spans="2:8" x14ac:dyDescent="0.3">
      <c r="C30" s="2" t="s">
        <v>41</v>
      </c>
      <c r="D30" s="2">
        <f>D15</f>
        <v>1584</v>
      </c>
      <c r="E30" s="2">
        <f>E15</f>
        <v>684</v>
      </c>
      <c r="F30" s="2">
        <f>F15</f>
        <v>1584</v>
      </c>
      <c r="G30" s="2">
        <f>G15</f>
        <v>684</v>
      </c>
      <c r="H30" s="2">
        <f>H15</f>
        <v>2964</v>
      </c>
    </row>
    <row r="31" spans="2:8" x14ac:dyDescent="0.3">
      <c r="C31" s="2" t="s">
        <v>42</v>
      </c>
      <c r="D31" s="2">
        <f>D16</f>
        <v>0</v>
      </c>
      <c r="E31" s="2">
        <f>E16</f>
        <v>0</v>
      </c>
      <c r="F31" s="2">
        <f>F16</f>
        <v>0</v>
      </c>
      <c r="G31" s="2">
        <f>G16</f>
        <v>0</v>
      </c>
      <c r="H31" s="2">
        <f>H16</f>
        <v>0</v>
      </c>
    </row>
    <row r="32" spans="2:8" x14ac:dyDescent="0.3">
      <c r="C32" s="2" t="s">
        <v>43</v>
      </c>
      <c r="D32" s="2">
        <f>D17</f>
        <v>0</v>
      </c>
      <c r="E32" s="2">
        <f>E17</f>
        <v>0</v>
      </c>
      <c r="F32" s="2">
        <f>F17</f>
        <v>0</v>
      </c>
      <c r="G32" s="2">
        <f>G17</f>
        <v>0</v>
      </c>
      <c r="H32" s="2">
        <f>H17</f>
        <v>0</v>
      </c>
    </row>
    <row r="33" spans="2:9" x14ac:dyDescent="0.3">
      <c r="C33" s="2" t="s">
        <v>44</v>
      </c>
      <c r="D33" s="2">
        <f>D18</f>
        <v>0.2</v>
      </c>
      <c r="E33" s="2">
        <f>E18</f>
        <v>0.2</v>
      </c>
      <c r="F33" s="2">
        <f>F18</f>
        <v>0.2</v>
      </c>
      <c r="G33" s="2">
        <f>G18</f>
        <v>0.2</v>
      </c>
      <c r="H33" s="2">
        <f>H18</f>
        <v>0.2</v>
      </c>
    </row>
    <row r="34" spans="2:9" x14ac:dyDescent="0.3">
      <c r="C34" s="2" t="s">
        <v>45</v>
      </c>
      <c r="D34" s="2">
        <f>D19</f>
        <v>0.59</v>
      </c>
      <c r="E34" s="2">
        <f>E19</f>
        <v>0.59</v>
      </c>
      <c r="F34" s="2">
        <f>F19</f>
        <v>0.59</v>
      </c>
      <c r="G34" s="2">
        <f>G19</f>
        <v>0.59</v>
      </c>
      <c r="H34" s="2">
        <f>H19</f>
        <v>0.59</v>
      </c>
    </row>
    <row r="35" spans="2:9" x14ac:dyDescent="0.3">
      <c r="C35" s="2" t="s">
        <v>46</v>
      </c>
      <c r="D35" s="2">
        <f>D20</f>
        <v>0.2</v>
      </c>
      <c r="E35" s="2">
        <f>E20</f>
        <v>0.2</v>
      </c>
      <c r="F35" s="2">
        <f>F20</f>
        <v>0.2</v>
      </c>
      <c r="G35" s="2">
        <f>G20</f>
        <v>0.2</v>
      </c>
      <c r="H35" s="2">
        <f>H20</f>
        <v>0.2</v>
      </c>
    </row>
    <row r="36" spans="2:9" x14ac:dyDescent="0.3">
      <c r="C36" s="2" t="s">
        <v>47</v>
      </c>
      <c r="D36" s="2">
        <f>D21</f>
        <v>0</v>
      </c>
      <c r="E36" s="2">
        <f>E21</f>
        <v>0</v>
      </c>
      <c r="F36" s="2">
        <f>F21</f>
        <v>0</v>
      </c>
      <c r="G36" s="2">
        <f>G21</f>
        <v>0</v>
      </c>
      <c r="H36" s="2">
        <f>H21</f>
        <v>0</v>
      </c>
    </row>
    <row r="37" spans="2:9" x14ac:dyDescent="0.3">
      <c r="C37" s="2" t="s">
        <v>48</v>
      </c>
      <c r="D37" s="2" t="str">
        <f>D22</f>
        <v>GeneralLights</v>
      </c>
      <c r="E37" s="2" t="str">
        <f>E22</f>
        <v>GeneralLights</v>
      </c>
      <c r="F37" s="2" t="str">
        <f>F22</f>
        <v>GeneralLights</v>
      </c>
      <c r="G37" s="2" t="str">
        <f>G22</f>
        <v>GeneralLights</v>
      </c>
      <c r="H37" s="2" t="str">
        <f>H22</f>
        <v>GeneralLights</v>
      </c>
    </row>
    <row r="38" spans="2:9" x14ac:dyDescent="0.3">
      <c r="C38" s="2" t="s">
        <v>73</v>
      </c>
    </row>
    <row r="39" spans="2:9" x14ac:dyDescent="0.3">
      <c r="C39" s="2" t="s">
        <v>74</v>
      </c>
    </row>
    <row r="40" spans="2:9" x14ac:dyDescent="0.3">
      <c r="C40" s="2" t="s">
        <v>75</v>
      </c>
    </row>
    <row r="46" spans="2:9" x14ac:dyDescent="0.3">
      <c r="B46" s="2" t="s">
        <v>71</v>
      </c>
      <c r="C46" s="2" t="s">
        <v>37</v>
      </c>
      <c r="D46" s="2" t="s">
        <v>13</v>
      </c>
      <c r="E46" s="2" t="s">
        <v>17</v>
      </c>
      <c r="F46" s="2" t="s">
        <v>22</v>
      </c>
      <c r="G46" s="2" t="s">
        <v>26</v>
      </c>
      <c r="H46" s="2" t="s">
        <v>28</v>
      </c>
      <c r="I46" s="2" t="s">
        <v>31</v>
      </c>
    </row>
    <row r="47" spans="2:9" x14ac:dyDescent="0.3">
      <c r="C47" s="2" t="s">
        <v>49</v>
      </c>
      <c r="D47" s="2" t="s">
        <v>14</v>
      </c>
      <c r="E47" s="2" t="s">
        <v>18</v>
      </c>
      <c r="F47" s="2" t="s">
        <v>14</v>
      </c>
      <c r="G47" s="2" t="s">
        <v>14</v>
      </c>
      <c r="H47" s="2" t="s">
        <v>18</v>
      </c>
      <c r="I47" s="2" t="s">
        <v>14</v>
      </c>
    </row>
    <row r="48" spans="2:9" x14ac:dyDescent="0.3">
      <c r="C48" s="2" t="s">
        <v>50</v>
      </c>
      <c r="D48" s="2" t="s">
        <v>15</v>
      </c>
      <c r="E48" s="2" t="s">
        <v>19</v>
      </c>
      <c r="F48" s="2" t="s">
        <v>15</v>
      </c>
      <c r="G48" s="2" t="s">
        <v>15</v>
      </c>
      <c r="H48" s="2" t="s">
        <v>19</v>
      </c>
      <c r="I48" s="2" t="s">
        <v>15</v>
      </c>
    </row>
    <row r="49" spans="3:9" x14ac:dyDescent="0.3">
      <c r="C49" s="2" t="s">
        <v>51</v>
      </c>
      <c r="D49" s="2" t="s">
        <v>16</v>
      </c>
      <c r="E49" s="2" t="s">
        <v>16</v>
      </c>
      <c r="F49" s="2" t="s">
        <v>23</v>
      </c>
      <c r="G49" s="2" t="s">
        <v>27</v>
      </c>
      <c r="H49" s="2" t="s">
        <v>27</v>
      </c>
      <c r="I49" s="2" t="s">
        <v>32</v>
      </c>
    </row>
    <row r="50" spans="3:9" x14ac:dyDescent="0.3">
      <c r="C50" s="2" t="s">
        <v>52</v>
      </c>
    </row>
    <row r="51" spans="3:9" x14ac:dyDescent="0.3">
      <c r="C51" s="2" t="s">
        <v>53</v>
      </c>
      <c r="D51" s="2">
        <v>0.5</v>
      </c>
      <c r="E51" s="2">
        <v>0.5</v>
      </c>
      <c r="F51" s="2">
        <v>0.5</v>
      </c>
      <c r="G51" s="2">
        <v>0.5</v>
      </c>
      <c r="H51" s="2">
        <v>0.5</v>
      </c>
      <c r="I51" s="2">
        <v>0.5</v>
      </c>
    </row>
    <row r="52" spans="3:9" x14ac:dyDescent="0.3">
      <c r="C52" s="2" t="s">
        <v>54</v>
      </c>
    </row>
    <row r="53" spans="3:9" x14ac:dyDescent="0.3">
      <c r="C53" s="2" t="s">
        <v>55</v>
      </c>
    </row>
    <row r="54" spans="3:9" x14ac:dyDescent="0.3">
      <c r="C54" s="2" t="s">
        <v>56</v>
      </c>
      <c r="D54" s="2">
        <v>1</v>
      </c>
      <c r="E54" s="2">
        <v>1</v>
      </c>
      <c r="F54" s="2">
        <v>1</v>
      </c>
      <c r="G54" s="2">
        <v>1</v>
      </c>
      <c r="H54" s="2">
        <v>1</v>
      </c>
      <c r="I54" s="2">
        <v>1</v>
      </c>
    </row>
    <row r="55" spans="3:9" x14ac:dyDescent="0.3">
      <c r="C55" s="2" t="s">
        <v>57</v>
      </c>
      <c r="D55" s="2">
        <v>4</v>
      </c>
      <c r="E55" s="2">
        <v>4</v>
      </c>
      <c r="F55" s="2">
        <v>4</v>
      </c>
      <c r="G55" s="2">
        <v>4</v>
      </c>
      <c r="H55" s="2">
        <v>4</v>
      </c>
      <c r="I55" s="2">
        <v>4</v>
      </c>
    </row>
    <row r="56" spans="3:9" x14ac:dyDescent="0.3">
      <c r="C56" s="2" t="s">
        <v>58</v>
      </c>
      <c r="D56" s="2">
        <v>3</v>
      </c>
      <c r="E56" s="2">
        <v>21.3</v>
      </c>
      <c r="F56" s="2">
        <v>30.5</v>
      </c>
      <c r="G56" s="2">
        <v>27.4</v>
      </c>
      <c r="H56" s="2">
        <v>9.1</v>
      </c>
      <c r="I56" s="2">
        <v>0</v>
      </c>
    </row>
    <row r="57" spans="3:9" x14ac:dyDescent="0.3">
      <c r="C57" s="2" t="s">
        <v>59</v>
      </c>
      <c r="D57" s="2">
        <v>0</v>
      </c>
      <c r="E57" s="2">
        <v>0</v>
      </c>
      <c r="F57" s="2">
        <v>3.8</v>
      </c>
      <c r="G57" s="2">
        <v>15.2</v>
      </c>
      <c r="H57" s="2">
        <v>15.2</v>
      </c>
      <c r="I57" s="2">
        <v>11.4</v>
      </c>
    </row>
    <row r="58" spans="3:9" x14ac:dyDescent="0.3">
      <c r="C58" s="2" t="s">
        <v>60</v>
      </c>
      <c r="D58" s="2">
        <v>2.1</v>
      </c>
      <c r="E58" s="2">
        <v>2.1</v>
      </c>
      <c r="F58" s="2">
        <v>2.1</v>
      </c>
      <c r="G58" s="2">
        <v>2.1</v>
      </c>
      <c r="H58" s="2">
        <v>2.1</v>
      </c>
      <c r="I58" s="2">
        <v>2.1</v>
      </c>
    </row>
    <row r="59" spans="3:9" x14ac:dyDescent="0.3">
      <c r="C59" s="2" t="s">
        <v>61</v>
      </c>
      <c r="D59" s="2">
        <v>3</v>
      </c>
      <c r="E59" s="2">
        <v>21.3</v>
      </c>
      <c r="F59" s="2">
        <v>30.5</v>
      </c>
      <c r="G59" s="2">
        <v>27.4</v>
      </c>
      <c r="H59" s="2">
        <v>9.1</v>
      </c>
      <c r="I59" s="2">
        <v>0</v>
      </c>
    </row>
    <row r="60" spans="3:9" x14ac:dyDescent="0.3">
      <c r="C60" s="2" t="s">
        <v>62</v>
      </c>
      <c r="D60" s="2">
        <v>0</v>
      </c>
      <c r="E60" s="2">
        <v>0</v>
      </c>
      <c r="F60" s="2">
        <v>3.8</v>
      </c>
      <c r="G60" s="2">
        <v>15.2</v>
      </c>
      <c r="H60" s="2">
        <v>15.2</v>
      </c>
      <c r="I60" s="2">
        <v>11.4</v>
      </c>
    </row>
    <row r="61" spans="3:9" x14ac:dyDescent="0.3">
      <c r="C61" s="2" t="s">
        <v>63</v>
      </c>
      <c r="D61" s="2">
        <v>0.9</v>
      </c>
      <c r="E61" s="2">
        <v>0</v>
      </c>
      <c r="F61" s="2">
        <v>0.9</v>
      </c>
      <c r="G61" s="2">
        <v>0.9</v>
      </c>
      <c r="H61" s="2">
        <v>0</v>
      </c>
      <c r="I61" s="2">
        <v>0.9</v>
      </c>
    </row>
    <row r="62" spans="3:9" x14ac:dyDescent="0.3">
      <c r="C62" s="2" t="s">
        <v>64</v>
      </c>
      <c r="D62" s="2">
        <v>16.8</v>
      </c>
      <c r="E62" s="2">
        <v>23.8</v>
      </c>
      <c r="F62" s="2">
        <v>30.5</v>
      </c>
      <c r="G62" s="2">
        <v>13.7</v>
      </c>
      <c r="H62" s="2">
        <v>7</v>
      </c>
      <c r="I62" s="2">
        <v>0</v>
      </c>
    </row>
    <row r="63" spans="3:9" x14ac:dyDescent="0.3">
      <c r="C63" s="2" t="s">
        <v>65</v>
      </c>
      <c r="D63" s="2">
        <v>0</v>
      </c>
      <c r="E63" s="2">
        <v>0</v>
      </c>
      <c r="F63" s="2">
        <v>11.4</v>
      </c>
      <c r="G63" s="2">
        <v>15.2</v>
      </c>
      <c r="H63" s="2">
        <v>15.2</v>
      </c>
      <c r="I63" s="2">
        <v>3.8</v>
      </c>
    </row>
    <row r="64" spans="3:9" x14ac:dyDescent="0.3">
      <c r="C64" s="2" t="s">
        <v>66</v>
      </c>
      <c r="D64" s="2">
        <v>0.9</v>
      </c>
      <c r="E64" s="2">
        <v>0</v>
      </c>
      <c r="F64" s="2">
        <v>0.9</v>
      </c>
      <c r="G64" s="2">
        <v>0.9</v>
      </c>
      <c r="H64" s="2">
        <v>0</v>
      </c>
      <c r="I64" s="2">
        <v>0.9</v>
      </c>
    </row>
    <row r="65" spans="2:9" x14ac:dyDescent="0.3">
      <c r="C65" s="2" t="s">
        <v>67</v>
      </c>
      <c r="D65" s="2">
        <v>16.8</v>
      </c>
      <c r="E65" s="2">
        <v>23.8</v>
      </c>
      <c r="F65" s="2">
        <v>30.5</v>
      </c>
      <c r="G65" s="2">
        <v>13.7</v>
      </c>
      <c r="H65" s="2">
        <v>7</v>
      </c>
      <c r="I65" s="2">
        <v>0</v>
      </c>
    </row>
    <row r="66" spans="2:9" x14ac:dyDescent="0.3">
      <c r="C66" s="2" t="s">
        <v>68</v>
      </c>
      <c r="D66" s="2">
        <v>0</v>
      </c>
      <c r="E66" s="2">
        <v>0</v>
      </c>
      <c r="F66" s="2">
        <v>11.4</v>
      </c>
      <c r="G66" s="2">
        <v>15.2</v>
      </c>
      <c r="H66" s="2">
        <v>15.2</v>
      </c>
      <c r="I66" s="2">
        <v>3.8</v>
      </c>
    </row>
    <row r="67" spans="2:9" x14ac:dyDescent="0.3">
      <c r="C67" s="2" t="s">
        <v>69</v>
      </c>
      <c r="D67" s="2">
        <v>2.1</v>
      </c>
      <c r="E67" s="2">
        <v>2.1</v>
      </c>
      <c r="F67" s="2">
        <v>2.1</v>
      </c>
      <c r="G67" s="2">
        <v>2.1</v>
      </c>
      <c r="H67" s="2">
        <v>2.1</v>
      </c>
      <c r="I67" s="2">
        <v>2.1</v>
      </c>
    </row>
    <row r="71" spans="2:9" x14ac:dyDescent="0.3">
      <c r="B71" s="2" t="s">
        <v>76</v>
      </c>
      <c r="C71" s="2" t="s">
        <v>37</v>
      </c>
      <c r="D71" s="2" t="str">
        <f>D46</f>
        <v>WF-1</v>
      </c>
      <c r="E71" s="2" t="str">
        <f>E46</f>
        <v>DF-1</v>
      </c>
      <c r="F71" s="2" t="str">
        <f>F46</f>
        <v>WR-1</v>
      </c>
      <c r="G71" s="2" t="str">
        <f>G46</f>
        <v>WB-1</v>
      </c>
      <c r="H71" s="2" t="str">
        <f>H46</f>
        <v>DB-1</v>
      </c>
      <c r="I71" s="2" t="str">
        <f>I46</f>
        <v>WL-1</v>
      </c>
    </row>
    <row r="72" spans="2:9" x14ac:dyDescent="0.3">
      <c r="C72" s="2" t="s">
        <v>49</v>
      </c>
      <c r="D72" s="2" t="str">
        <f>D47</f>
        <v>WINDOW</v>
      </c>
      <c r="E72" s="2" t="str">
        <f>E47</f>
        <v>GLASSDOOR</v>
      </c>
      <c r="F72" s="2" t="str">
        <f>F47</f>
        <v>WINDOW</v>
      </c>
      <c r="G72" s="2" t="str">
        <f>G47</f>
        <v>WINDOW</v>
      </c>
      <c r="H72" s="2" t="str">
        <f>H47</f>
        <v>GLASSDOOR</v>
      </c>
      <c r="I72" s="2" t="str">
        <f>I47</f>
        <v>WINDOW</v>
      </c>
    </row>
    <row r="73" spans="2:9" x14ac:dyDescent="0.3">
      <c r="C73" s="2" t="s">
        <v>50</v>
      </c>
      <c r="D73" s="2" t="str">
        <f>D48</f>
        <v>Dbl Clr 3mm/13mm Air</v>
      </c>
      <c r="E73" s="2" t="str">
        <f>E48</f>
        <v>Sgl Grey 3mm</v>
      </c>
      <c r="F73" s="2" t="str">
        <f>F48</f>
        <v>Dbl Clr 3mm/13mm Air</v>
      </c>
      <c r="G73" s="2" t="str">
        <f>G48</f>
        <v>Dbl Clr 3mm/13mm Air</v>
      </c>
      <c r="H73" s="2" t="str">
        <f>H48</f>
        <v>Sgl Grey 3mm</v>
      </c>
      <c r="I73" s="2" t="str">
        <f>I48</f>
        <v>Dbl Clr 3mm/13mm Air</v>
      </c>
    </row>
    <row r="74" spans="2:9" x14ac:dyDescent="0.3">
      <c r="C74" s="2" t="s">
        <v>51</v>
      </c>
      <c r="D74" s="2" t="str">
        <f>D49</f>
        <v>FRONT-1</v>
      </c>
      <c r="E74" s="2" t="str">
        <f>E49</f>
        <v>FRONT-1</v>
      </c>
      <c r="F74" s="2" t="str">
        <f>F49</f>
        <v>RIGHT-1</v>
      </c>
      <c r="G74" s="2" t="str">
        <f>G49</f>
        <v>BACK-1</v>
      </c>
      <c r="H74" s="2" t="str">
        <f>H49</f>
        <v>BACK-1</v>
      </c>
      <c r="I74" s="2" t="str">
        <f>I49</f>
        <v>LEFT-1</v>
      </c>
    </row>
    <row r="75" spans="2:9" x14ac:dyDescent="0.3">
      <c r="C75" s="2" t="s">
        <v>52</v>
      </c>
      <c r="D75" s="2">
        <f>D50</f>
        <v>0</v>
      </c>
      <c r="E75" s="2">
        <f>E50</f>
        <v>0</v>
      </c>
      <c r="F75" s="2">
        <f>F50</f>
        <v>0</v>
      </c>
      <c r="G75" s="2">
        <f>G50</f>
        <v>0</v>
      </c>
      <c r="H75" s="2">
        <f>H50</f>
        <v>0</v>
      </c>
      <c r="I75" s="2">
        <f>I50</f>
        <v>0</v>
      </c>
    </row>
    <row r="76" spans="2:9" x14ac:dyDescent="0.3">
      <c r="C76" s="2" t="s">
        <v>53</v>
      </c>
      <c r="D76" s="2">
        <f>D51</f>
        <v>0.5</v>
      </c>
      <c r="E76" s="2">
        <f>E51</f>
        <v>0.5</v>
      </c>
      <c r="F76" s="2">
        <f>F51</f>
        <v>0.5</v>
      </c>
      <c r="G76" s="2">
        <f>G51</f>
        <v>0.5</v>
      </c>
      <c r="H76" s="2">
        <f>H51</f>
        <v>0.5</v>
      </c>
      <c r="I76" s="2">
        <f>I51</f>
        <v>0.5</v>
      </c>
    </row>
    <row r="77" spans="2:9" x14ac:dyDescent="0.3">
      <c r="C77" s="2" t="s">
        <v>54</v>
      </c>
      <c r="D77" s="2">
        <f>D52</f>
        <v>0</v>
      </c>
      <c r="E77" s="2">
        <f>E52</f>
        <v>0</v>
      </c>
      <c r="F77" s="2">
        <f>F52</f>
        <v>0</v>
      </c>
      <c r="G77" s="2">
        <f>G52</f>
        <v>0</v>
      </c>
      <c r="H77" s="2">
        <f>H52</f>
        <v>0</v>
      </c>
      <c r="I77" s="2">
        <f>I52</f>
        <v>0</v>
      </c>
    </row>
    <row r="78" spans="2:9" x14ac:dyDescent="0.3">
      <c r="C78" s="2" t="s">
        <v>55</v>
      </c>
      <c r="D78" s="2">
        <f>D53</f>
        <v>0</v>
      </c>
      <c r="E78" s="2">
        <f>E53</f>
        <v>0</v>
      </c>
      <c r="F78" s="2">
        <f>F53</f>
        <v>0</v>
      </c>
      <c r="G78" s="2">
        <f>G53</f>
        <v>0</v>
      </c>
      <c r="H78" s="2">
        <f>H53</f>
        <v>0</v>
      </c>
      <c r="I78" s="2">
        <f>I53</f>
        <v>0</v>
      </c>
    </row>
    <row r="79" spans="2:9" x14ac:dyDescent="0.3">
      <c r="C79" s="2" t="s">
        <v>56</v>
      </c>
      <c r="D79" s="2">
        <f>D54</f>
        <v>1</v>
      </c>
      <c r="E79" s="2">
        <f>E54</f>
        <v>1</v>
      </c>
      <c r="F79" s="2">
        <f>F54</f>
        <v>1</v>
      </c>
      <c r="G79" s="2">
        <f>G54</f>
        <v>1</v>
      </c>
      <c r="H79" s="2">
        <f>H54</f>
        <v>1</v>
      </c>
      <c r="I79" s="2">
        <f>I54</f>
        <v>1</v>
      </c>
    </row>
    <row r="80" spans="2:9" x14ac:dyDescent="0.3">
      <c r="C80" s="2" t="s">
        <v>57</v>
      </c>
      <c r="D80" s="2">
        <f>D55</f>
        <v>4</v>
      </c>
      <c r="E80" s="2">
        <f>E55</f>
        <v>4</v>
      </c>
      <c r="F80" s="2">
        <f>F55</f>
        <v>4</v>
      </c>
      <c r="G80" s="2">
        <f>G55</f>
        <v>4</v>
      </c>
      <c r="H80" s="2">
        <f>H55</f>
        <v>4</v>
      </c>
      <c r="I80" s="2">
        <f>I55</f>
        <v>4</v>
      </c>
    </row>
    <row r="81" spans="3:9" x14ac:dyDescent="0.3">
      <c r="C81" s="2" t="s">
        <v>58</v>
      </c>
      <c r="D81" s="2">
        <f>D56</f>
        <v>3</v>
      </c>
      <c r="E81" s="2">
        <f>E56</f>
        <v>21.3</v>
      </c>
      <c r="F81" s="2">
        <f>F56</f>
        <v>30.5</v>
      </c>
      <c r="G81" s="2">
        <f>G56</f>
        <v>27.4</v>
      </c>
      <c r="H81" s="2">
        <f>H56</f>
        <v>9.1</v>
      </c>
      <c r="I81" s="2">
        <f>I56</f>
        <v>0</v>
      </c>
    </row>
    <row r="82" spans="3:9" x14ac:dyDescent="0.3">
      <c r="C82" s="2" t="s">
        <v>59</v>
      </c>
      <c r="D82" s="2">
        <f>D57</f>
        <v>0</v>
      </c>
      <c r="E82" s="2">
        <f>E57</f>
        <v>0</v>
      </c>
      <c r="F82" s="2">
        <f>F57</f>
        <v>3.8</v>
      </c>
      <c r="G82" s="2">
        <f>G57</f>
        <v>15.2</v>
      </c>
      <c r="H82" s="2">
        <f>H57</f>
        <v>15.2</v>
      </c>
      <c r="I82" s="2">
        <f>I57</f>
        <v>11.4</v>
      </c>
    </row>
    <row r="83" spans="3:9" x14ac:dyDescent="0.3">
      <c r="C83" s="2" t="s">
        <v>60</v>
      </c>
      <c r="D83" s="2">
        <f>D58</f>
        <v>2.1</v>
      </c>
      <c r="E83" s="2">
        <f>E58</f>
        <v>2.1</v>
      </c>
      <c r="F83" s="2">
        <f>F58</f>
        <v>2.1</v>
      </c>
      <c r="G83" s="2">
        <f>G58</f>
        <v>2.1</v>
      </c>
      <c r="H83" s="2">
        <f>H58</f>
        <v>2.1</v>
      </c>
      <c r="I83" s="2">
        <f>I58</f>
        <v>2.1</v>
      </c>
    </row>
    <row r="84" spans="3:9" x14ac:dyDescent="0.3">
      <c r="C84" s="2" t="s">
        <v>61</v>
      </c>
      <c r="D84" s="2">
        <f>D59</f>
        <v>3</v>
      </c>
      <c r="E84" s="2">
        <f>E59</f>
        <v>21.3</v>
      </c>
      <c r="F84" s="2">
        <f>F59</f>
        <v>30.5</v>
      </c>
      <c r="G84" s="2">
        <f>G59</f>
        <v>27.4</v>
      </c>
      <c r="H84" s="2">
        <f>H59</f>
        <v>9.1</v>
      </c>
      <c r="I84" s="2">
        <f>I59</f>
        <v>0</v>
      </c>
    </row>
    <row r="85" spans="3:9" x14ac:dyDescent="0.3">
      <c r="C85" s="2" t="s">
        <v>62</v>
      </c>
      <c r="D85" s="2">
        <f>D60</f>
        <v>0</v>
      </c>
      <c r="E85" s="2">
        <f>E60</f>
        <v>0</v>
      </c>
      <c r="F85" s="2">
        <f>F60</f>
        <v>3.8</v>
      </c>
      <c r="G85" s="2">
        <f>G60</f>
        <v>15.2</v>
      </c>
      <c r="H85" s="2">
        <f>H60</f>
        <v>15.2</v>
      </c>
      <c r="I85" s="2">
        <f>I60</f>
        <v>11.4</v>
      </c>
    </row>
    <row r="86" spans="3:9" x14ac:dyDescent="0.3">
      <c r="C86" s="2" t="s">
        <v>63</v>
      </c>
      <c r="D86" s="2">
        <f>D61</f>
        <v>0.9</v>
      </c>
      <c r="E86" s="2">
        <f>E61</f>
        <v>0</v>
      </c>
      <c r="F86" s="2">
        <f>F61</f>
        <v>0.9</v>
      </c>
      <c r="G86" s="2">
        <f>G61</f>
        <v>0.9</v>
      </c>
      <c r="H86" s="2">
        <f>H61</f>
        <v>0</v>
      </c>
      <c r="I86" s="2">
        <f>I61</f>
        <v>0.9</v>
      </c>
    </row>
    <row r="87" spans="3:9" x14ac:dyDescent="0.3">
      <c r="C87" s="2" t="s">
        <v>64</v>
      </c>
      <c r="D87" s="2">
        <f>D62</f>
        <v>16.8</v>
      </c>
      <c r="E87" s="2">
        <f>E62</f>
        <v>23.8</v>
      </c>
      <c r="F87" s="2">
        <f>F62</f>
        <v>30.5</v>
      </c>
      <c r="G87" s="2">
        <f>G62</f>
        <v>13.7</v>
      </c>
      <c r="H87" s="2">
        <f>H62</f>
        <v>7</v>
      </c>
      <c r="I87" s="2">
        <f>I62</f>
        <v>0</v>
      </c>
    </row>
    <row r="88" spans="3:9" x14ac:dyDescent="0.3">
      <c r="C88" s="2" t="s">
        <v>65</v>
      </c>
      <c r="D88" s="2">
        <f>D63</f>
        <v>0</v>
      </c>
      <c r="E88" s="2">
        <f>E63</f>
        <v>0</v>
      </c>
      <c r="F88" s="2">
        <f>F63</f>
        <v>11.4</v>
      </c>
      <c r="G88" s="2">
        <f>G63</f>
        <v>15.2</v>
      </c>
      <c r="H88" s="2">
        <f>H63</f>
        <v>15.2</v>
      </c>
      <c r="I88" s="2">
        <f>I63</f>
        <v>3.8</v>
      </c>
    </row>
    <row r="89" spans="3:9" x14ac:dyDescent="0.3">
      <c r="C89" s="2" t="s">
        <v>66</v>
      </c>
      <c r="D89" s="2">
        <f>D64</f>
        <v>0.9</v>
      </c>
      <c r="E89" s="2">
        <f>E64</f>
        <v>0</v>
      </c>
      <c r="F89" s="2">
        <f>F64</f>
        <v>0.9</v>
      </c>
      <c r="G89" s="2">
        <f>G64</f>
        <v>0.9</v>
      </c>
      <c r="H89" s="2">
        <f>H64</f>
        <v>0</v>
      </c>
      <c r="I89" s="2">
        <f>I64</f>
        <v>0.9</v>
      </c>
    </row>
    <row r="90" spans="3:9" x14ac:dyDescent="0.3">
      <c r="C90" s="2" t="s">
        <v>67</v>
      </c>
      <c r="D90" s="2">
        <f>D65</f>
        <v>16.8</v>
      </c>
      <c r="E90" s="2">
        <f>E65</f>
        <v>23.8</v>
      </c>
      <c r="F90" s="2">
        <f>F65</f>
        <v>30.5</v>
      </c>
      <c r="G90" s="2">
        <f>G65</f>
        <v>13.7</v>
      </c>
      <c r="H90" s="2">
        <f>H65</f>
        <v>7</v>
      </c>
      <c r="I90" s="2">
        <f>I65</f>
        <v>0</v>
      </c>
    </row>
    <row r="91" spans="3:9" x14ac:dyDescent="0.3">
      <c r="C91" s="2" t="s">
        <v>68</v>
      </c>
      <c r="D91" s="2">
        <f>D66</f>
        <v>0</v>
      </c>
      <c r="E91" s="2">
        <f>E66</f>
        <v>0</v>
      </c>
      <c r="F91" s="2">
        <f>F66</f>
        <v>11.4</v>
      </c>
      <c r="G91" s="2">
        <f>G66</f>
        <v>15.2</v>
      </c>
      <c r="H91" s="2">
        <f>H66</f>
        <v>15.2</v>
      </c>
      <c r="I91" s="2">
        <f>I66</f>
        <v>3.8</v>
      </c>
    </row>
    <row r="92" spans="3:9" x14ac:dyDescent="0.3">
      <c r="C92" s="2" t="s">
        <v>69</v>
      </c>
      <c r="D92" s="2">
        <f>D67</f>
        <v>2.1</v>
      </c>
      <c r="E92" s="2">
        <f>E67</f>
        <v>2.1</v>
      </c>
      <c r="F92" s="2">
        <f>F67</f>
        <v>2.1</v>
      </c>
      <c r="G92" s="2">
        <f>G67</f>
        <v>2.1</v>
      </c>
      <c r="H92" s="2">
        <f>H67</f>
        <v>2.1</v>
      </c>
      <c r="I92" s="2">
        <f>I67</f>
        <v>2.1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testDrumlin">
                <anchor moveWithCells="1" sizeWithCells="1">
                  <from>
                    <xdr:col>4</xdr:col>
                    <xdr:colOff>480060</xdr:colOff>
                    <xdr:row>2</xdr:row>
                    <xdr:rowOff>91440</xdr:rowOff>
                  </from>
                  <to>
                    <xdr:col>7</xdr:col>
                    <xdr:colOff>167640</xdr:colOff>
                    <xdr:row>3</xdr:row>
                    <xdr:rowOff>160020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jglazer</dc:creator>
  <cp:lastModifiedBy>jglazer</cp:lastModifiedBy>
  <dcterms:created xsi:type="dcterms:W3CDTF">2017-05-21T22:19:22Z</dcterms:created>
  <dcterms:modified xsi:type="dcterms:W3CDTF">2017-10-24T03:16:18Z</dcterms:modified>
</cp:coreProperties>
</file>